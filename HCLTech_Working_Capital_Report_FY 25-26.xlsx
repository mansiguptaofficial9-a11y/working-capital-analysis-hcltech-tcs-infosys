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f26a54c6386bab6/Desktop/PROJECTS/Working Capital/HCL Tech/"/>
    </mc:Choice>
  </mc:AlternateContent>
  <xr:revisionPtr revIDLastSave="46" documentId="13_ncr:1_{0B469260-7F08-4DAE-A190-20EFB05FD1D1}" xr6:coauthVersionLast="47" xr6:coauthVersionMax="47" xr10:uidLastSave="{92C61D3E-715C-4F99-AEAC-5A5EA0580D01}"/>
  <bookViews>
    <workbookView xWindow="-110" yWindow="-110" windowWidth="19420" windowHeight="10300" tabRatio="652" activeTab="4" xr2:uid="{00000000-000D-0000-FFFF-FFFF00000000}"/>
  </bookViews>
  <sheets>
    <sheet name="Instructions" sheetId="1" r:id="rId1"/>
    <sheet name="Extracted_Data" sheetId="2" r:id="rId2"/>
    <sheet name="Calculation_Data" sheetId="3" r:id="rId3"/>
    <sheet name="YoY_Change" sheetId="4" r:id="rId4"/>
    <sheet name="Peer Comparison" sheetId="5" r:id="rId5"/>
  </sheets>
  <calcPr calcId="181029"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19" i="3" l="1"/>
  <c r="E15" i="3"/>
  <c r="D8" i="5" s="1"/>
  <c r="E14" i="3"/>
  <c r="D7" i="5" s="1"/>
  <c r="E12" i="3"/>
  <c r="E16" i="3" s="1"/>
  <c r="E10" i="3"/>
  <c r="E23" i="3" s="1"/>
  <c r="D12" i="5" s="1"/>
  <c r="E8" i="3"/>
  <c r="E11" i="3" s="1"/>
  <c r="E7" i="3"/>
  <c r="E18" i="3" s="1"/>
  <c r="D9" i="5" s="1"/>
  <c r="D19" i="3"/>
  <c r="D15" i="3"/>
  <c r="C8" i="5" s="1"/>
  <c r="D14" i="3"/>
  <c r="C7" i="5" s="1"/>
  <c r="D12" i="3"/>
  <c r="D16" i="3" s="1"/>
  <c r="D10" i="3"/>
  <c r="D23" i="3" s="1"/>
  <c r="C12" i="5" s="1"/>
  <c r="D8" i="3"/>
  <c r="D20" i="3" s="1"/>
  <c r="C10" i="5" s="1"/>
  <c r="D7" i="3"/>
  <c r="D18" i="3" s="1"/>
  <c r="C9" i="5" s="1"/>
  <c r="C19" i="3"/>
  <c r="B19" i="3"/>
  <c r="C8" i="3"/>
  <c r="C20" i="3" s="1"/>
  <c r="B10" i="5" s="1"/>
  <c r="B8" i="3"/>
  <c r="B20" i="3" s="1"/>
  <c r="C7" i="3"/>
  <c r="C18" i="3" s="1"/>
  <c r="B9" i="5" s="1"/>
  <c r="B7" i="3"/>
  <c r="B18" i="3" s="1"/>
  <c r="B11" i="3" l="1"/>
  <c r="B21" i="3"/>
  <c r="D11" i="3"/>
  <c r="D21" i="3"/>
  <c r="C11" i="5" s="1"/>
  <c r="C21" i="3"/>
  <c r="B11" i="5" s="1"/>
  <c r="B22" i="4"/>
  <c r="E20" i="3"/>
  <c r="D10" i="5" s="1"/>
  <c r="C11" i="3"/>
  <c r="B26" i="4" s="1"/>
  <c r="B11" i="4"/>
  <c r="E21" i="3" l="1"/>
  <c r="D11" i="5" s="1"/>
  <c r="C15" i="3"/>
  <c r="B8" i="5" s="1"/>
  <c r="B15" i="3"/>
  <c r="C14" i="3"/>
  <c r="B7" i="5" s="1"/>
  <c r="B14" i="3"/>
  <c r="C12" i="3"/>
  <c r="C16" i="3" s="1"/>
  <c r="B12" i="3"/>
  <c r="B16" i="3" s="1"/>
  <c r="C10" i="3"/>
  <c r="C23" i="3" s="1"/>
  <c r="B10" i="3"/>
  <c r="B23" i="3" s="1"/>
  <c r="B12" i="5" s="1"/>
  <c r="B24" i="4"/>
  <c r="B23" i="4"/>
  <c r="B20" i="4"/>
  <c r="B19" i="4"/>
  <c r="B18" i="4"/>
  <c r="B17" i="4"/>
  <c r="B13" i="4"/>
  <c r="B12" i="4"/>
  <c r="B9" i="4"/>
  <c r="B8" i="4"/>
  <c r="B7" i="4"/>
  <c r="B6" i="4"/>
  <c r="B31" i="4" l="1"/>
  <c r="B39" i="4" s="1"/>
  <c r="B25" i="4"/>
  <c r="B29" i="4"/>
  <c r="B38" i="4" s="1"/>
  <c r="B32" i="4"/>
  <c r="B21" i="4"/>
  <c r="B33" i="4"/>
  <c r="B40" i="4" s="1"/>
  <c r="B28" i="4"/>
  <c r="B37" i="4" s="1"/>
  <c r="B15" i="4"/>
  <c r="B10" i="4"/>
  <c r="B14" i="4"/>
  <c r="B34" i="4" l="1"/>
  <c r="B41" i="4" s="1"/>
  <c r="B35" i="4"/>
  <c r="B30" i="4"/>
</calcChain>
</file>

<file path=xl/sharedStrings.xml><?xml version="1.0" encoding="utf-8"?>
<sst xmlns="http://schemas.openxmlformats.org/spreadsheetml/2006/main" count="142" uniqueCount="94">
  <si>
    <t>Extracted_Data</t>
  </si>
  <si>
    <t>Calculation_Data</t>
  </si>
  <si>
    <t>YoY_Change</t>
  </si>
  <si>
    <t>Year-over-year absolute change, % change, change in ratios and Improved / Worsened signal.</t>
  </si>
  <si>
    <t>Colour legend</t>
  </si>
  <si>
    <t>Black text</t>
  </si>
  <si>
    <t>Formula on the same sheet</t>
  </si>
  <si>
    <t>Green text</t>
  </si>
  <si>
    <t>Formula pulling from another sheet</t>
  </si>
  <si>
    <t>Item (Rs crore)</t>
  </si>
  <si>
    <t>FY2025</t>
  </si>
  <si>
    <t>FY2026</t>
  </si>
  <si>
    <t>Trade receivables</t>
  </si>
  <si>
    <t>Profit &amp; Loss</t>
  </si>
  <si>
    <t>Revenue from operations</t>
  </si>
  <si>
    <t>Operating costs (total expenses excl. finance cost)</t>
  </si>
  <si>
    <t>Current assets (Balance Sheet)</t>
  </si>
  <si>
    <t>Unbilled revenue</t>
  </si>
  <si>
    <t>Inventories</t>
  </si>
  <si>
    <t>Cash and cash equivalents</t>
  </si>
  <si>
    <t>Other bank balances</t>
  </si>
  <si>
    <t>Current investments</t>
  </si>
  <si>
    <t>Total current assets (as reported)</t>
  </si>
  <si>
    <t>Current liabilities (Balance Sheet)</t>
  </si>
  <si>
    <t>Trade payables</t>
  </si>
  <si>
    <t>Short-term borrowings</t>
  </si>
  <si>
    <t>Total current liabilities (as reported)</t>
  </si>
  <si>
    <t>Calculation Data - Working Capital Metrics</t>
  </si>
  <si>
    <t>Days in year</t>
  </si>
  <si>
    <t>Assumption: 365 days used for DSO, DIO and DPO.</t>
  </si>
  <si>
    <t>Metric</t>
  </si>
  <si>
    <t>Working capital (Rs crore)</t>
  </si>
  <si>
    <t>Net working capital</t>
  </si>
  <si>
    <t>Operating working capital</t>
  </si>
  <si>
    <t>Cash and liquid investments</t>
  </si>
  <si>
    <t>Liquidity ratios (times)</t>
  </si>
  <si>
    <t>Current ratio</t>
  </si>
  <si>
    <t>Quick ratio</t>
  </si>
  <si>
    <t>Cash ratio</t>
  </si>
  <si>
    <t>Efficiency (days)</t>
  </si>
  <si>
    <t>DSO - Days Sales Outstanding</t>
  </si>
  <si>
    <t>DIO - Days Inventory Outstanding</t>
  </si>
  <si>
    <t>DPO - Days Payable Outstanding</t>
  </si>
  <si>
    <t>Cash Conversion Cycle (days)</t>
  </si>
  <si>
    <t>Other</t>
  </si>
  <si>
    <t>Net working capital as % of revenue</t>
  </si>
  <si>
    <t>Year-over-Year Change - HCL Technologies</t>
  </si>
  <si>
    <t>Item</t>
  </si>
  <si>
    <t>Comment</t>
  </si>
  <si>
    <t>A. Absolute change (Rs crore)</t>
  </si>
  <si>
    <t>Total current assets</t>
  </si>
  <si>
    <t>Total current liabilities</t>
  </si>
  <si>
    <t>B. Percentage change</t>
  </si>
  <si>
    <t>C. Change in ratios and days</t>
  </si>
  <si>
    <t>DSO (days)</t>
  </si>
  <si>
    <t>DIO (days)</t>
  </si>
  <si>
    <t>DPO (days)</t>
  </si>
  <si>
    <t>Cash conversion cycle (days)</t>
  </si>
  <si>
    <t>NWC as % of revenue (points)</t>
  </si>
  <si>
    <t>D. Direction versus previous year</t>
  </si>
  <si>
    <t>Higher is better (liquidity)</t>
  </si>
  <si>
    <t>DSO</t>
  </si>
  <si>
    <t>Lower is better (faster collections)</t>
  </si>
  <si>
    <t>DPO</t>
  </si>
  <si>
    <t>Higher keeps cash longer; too high risks vendor strain</t>
  </si>
  <si>
    <t>Cash conversion cycle</t>
  </si>
  <si>
    <t>Lower is better (cash tied up for fewer days)</t>
  </si>
  <si>
    <t>Blue text</t>
  </si>
  <si>
    <t>Input - from annual report of FY25-26</t>
  </si>
  <si>
    <t xml:space="preserve">Amounts in Rs crore. Source: HCLTech Annual Reports. </t>
  </si>
  <si>
    <t>Trade payables – billed</t>
  </si>
  <si>
    <t>Trade payables – unbilled</t>
  </si>
  <si>
    <t>Trade receivables-Billed</t>
  </si>
  <si>
    <t>Total trade receivables (billed + unbilled)</t>
  </si>
  <si>
    <t>Total trade payables (billed + unbilled)</t>
  </si>
  <si>
    <t xml:space="preserve">Extracted Data </t>
  </si>
  <si>
    <t>HCL Tech</t>
  </si>
  <si>
    <t>Source: Annual Report 2025-2026 and Screener</t>
  </si>
  <si>
    <t>TCS</t>
  </si>
  <si>
    <t>Infosys</t>
  </si>
  <si>
    <t xml:space="preserve">Peer Comparison of Working Capital Metrics: 
HCLTech vs TCS, Infosys (FY2026) </t>
  </si>
  <si>
    <t>Source: Annual Report 2025-26, Screener</t>
  </si>
  <si>
    <t>Company</t>
  </si>
  <si>
    <t>Peer Comparison</t>
  </si>
  <si>
    <t>INPUT sheet. Type figures from HCLTech's consolidated annual reports (Rs crore) ; Screener for TCS &amp; Infosys</t>
  </si>
  <si>
    <t xml:space="preserve">Working capital, liquidity ratios, DSO / DIO / DPO and cash conversion cycle. </t>
  </si>
  <si>
    <t>Comparison of HCLTech, TCS &amp; Infosys on liquidity ratios, DSO, DPO, cash conversion cycle and NWC as % of revenue.</t>
  </si>
  <si>
    <t>Almost identical to the current ratio at all three companies because inventory is negligible for IT services firms.</t>
  </si>
  <si>
    <t>HCLTech collects fastest (88 days vs about 92.5 for TCS and Infosys)</t>
  </si>
  <si>
    <t>HCLTech pays vendors in about 26 days, close to TCS (27) and well above Infosys (12). Infosys looks low partly because accrued expenses sit outside its trade payables, while HCLTech and TCS include them.</t>
  </si>
  <si>
    <t>HCLTech has the shortest cycle (63 days vs TCS 66 and Infosys 80). Infosys is overstated relative to peers because of the payables difference, so the HCLTech vs TCS gap of about 2.5 days is the reliable comparison.</t>
  </si>
  <si>
    <t>HCLTech 29.7%, TCS 28.0%, Infosys 28.6%. NWC includes cash and investments, so it partly reflects cash holdings. Operating working capital which favours HCLTech.</t>
  </si>
  <si>
    <t>HCLTech's current ratio (2.22x) is comparable to TCS (2.23x) and higher than Infosys (1.98x), indicating 
strong short-term liquidity. Its ratio remained stable compared with the previous year, while TCS and Infosys declined.</t>
  </si>
  <si>
    <t>Comparative Financial and Working Capital Analysis: HCLTech, TCS &amp; Infosys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</si>
</sst>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0\);\-"/>
    <numFmt numFmtId="167" formatCode="0.0%;\(0.0%\);\-"/>
  </numFmts>
  <fonts count="31" x14ac:knownFonts="1">
    <font>
      <sz val="11"/>
      <color theme="1"/>
      <name val="Calibri"/>
      <family val="2"/>
      <charset val="1"/>
    </font>
    <font>
      <sz val="10"/>
      <name val="Arial"/>
      <charset val="1"/>
    </font>
    <font>
      <b/>
      <sz val="14"/>
      <color rgb="FF1F3864"/>
      <name val="Arial"/>
      <charset val="1"/>
    </font>
    <font>
      <b/>
      <sz val="14"/>
      <color theme="3" tint="-0.249977111117893"/>
      <name val="Times New Roman"/>
      <family val="1"/>
    </font>
    <font>
      <sz val="11"/>
      <color theme="1"/>
      <name val="Times New Roman"/>
      <family val="1"/>
    </font>
    <font>
      <sz val="10"/>
      <name val="Times New Roman"/>
      <family val="1"/>
    </font>
    <font>
      <b/>
      <sz val="11"/>
      <name val="Times New Roman"/>
      <family val="1"/>
    </font>
    <font>
      <sz val="11"/>
      <color rgb="FF0000FF"/>
      <name val="Times New Roman"/>
      <family val="1"/>
    </font>
    <font>
      <sz val="11"/>
      <name val="Times New Roman"/>
      <family val="1"/>
    </font>
    <font>
      <sz val="11"/>
      <color rgb="FF008000"/>
      <name val="Times New Roman"/>
      <family val="1"/>
    </font>
    <font>
      <b/>
      <sz val="11"/>
      <color theme="1"/>
      <name val="Calibri"/>
      <family val="2"/>
    </font>
    <font>
      <b/>
      <i/>
      <sz val="10"/>
      <color theme="1"/>
      <name val="Times New Roman"/>
      <family val="1"/>
    </font>
    <font>
      <b/>
      <sz val="14"/>
      <color rgb="FF1F3864"/>
      <name val="Times New Roman"/>
      <family val="1"/>
    </font>
    <font>
      <b/>
      <sz val="11"/>
      <color theme="1"/>
      <name val="Times New Roman"/>
      <family val="1"/>
    </font>
    <font>
      <i/>
      <sz val="9"/>
      <color rgb="FF595959"/>
      <name val="Times New Roman"/>
      <family val="1"/>
    </font>
    <font>
      <b/>
      <sz val="9"/>
      <color theme="1"/>
      <name val="Times New Roman"/>
      <family val="1"/>
    </font>
    <font>
      <sz val="9"/>
      <color rgb="FF595959"/>
      <name val="Times New Roman"/>
      <family val="1"/>
    </font>
    <font>
      <b/>
      <sz val="12"/>
      <color theme="1"/>
      <name val="Calibri"/>
      <family val="2"/>
    </font>
    <font>
      <sz val="11"/>
      <color rgb="FF0033CC"/>
      <name val="Calibri"/>
      <family val="2"/>
      <charset val="1"/>
    </font>
    <font>
      <b/>
      <sz val="11"/>
      <color rgb="FFFFFFFF"/>
      <name val="Arial"/>
      <family val="2"/>
    </font>
    <font>
      <b/>
      <sz val="11"/>
      <color theme="0"/>
      <name val="Arial"/>
      <family val="2"/>
    </font>
    <font>
      <b/>
      <sz val="11"/>
      <name val="Arial"/>
      <family val="2"/>
    </font>
    <font>
      <sz val="11"/>
      <name val="Arial"/>
      <family val="2"/>
    </font>
    <font>
      <sz val="11"/>
      <color rgb="FF0033CC"/>
      <name val="Arial"/>
      <family val="2"/>
    </font>
    <font>
      <b/>
      <sz val="11"/>
      <color rgb="FFFFFFFF"/>
      <name val="Times New Roman"/>
      <family val="1"/>
    </font>
    <font>
      <b/>
      <sz val="10"/>
      <color theme="1"/>
      <name val="Times New Roman"/>
      <family val="1"/>
    </font>
    <font>
      <b/>
      <sz val="12"/>
      <color rgb="FFFFFFFF"/>
      <name val="Times New Roman"/>
      <family val="1"/>
    </font>
    <font>
      <b/>
      <sz val="12"/>
      <name val="Times New Roman"/>
      <family val="1"/>
    </font>
    <font>
      <sz val="12"/>
      <color theme="1"/>
      <name val="Times New Roman"/>
      <family val="1"/>
    </font>
    <font>
      <sz val="12"/>
      <name val="Times New Roman"/>
      <family val="1"/>
    </font>
    <font>
      <sz val="12"/>
      <color rgb="FF008000"/>
      <name val="Times New Roman"/>
      <family val="1"/>
    </font>
  </fonts>
  <fills count="11">
    <fill>
      <patternFill patternType="none"/>
    </fill>
    <fill>
      <patternFill patternType="gray125"/>
    </fill>
    <fill>
      <patternFill patternType="solid">
        <fgColor rgb="FF1F3864"/>
        <bgColor rgb="FF17375E"/>
      </patternFill>
    </fill>
    <fill>
      <patternFill patternType="solid">
        <fgColor rgb="FFD9E2F3"/>
        <b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99"/>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39997558519241921"/>
        <bgColor rgb="FF17375E"/>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3">
    <xf numFmtId="0" fontId="0" fillId="0" borderId="0" xfId="0"/>
    <xf numFmtId="0" fontId="1" fillId="0" borderId="0" xfId="0" applyFont="1" applyBorder="1" applyAlignment="1">
      <alignment vertical="top" wrapText="1"/>
    </xf>
    <xf numFmtId="0" fontId="4" fillId="0" borderId="0" xfId="0" applyFont="1"/>
    <xf numFmtId="0" fontId="10" fillId="0" borderId="0" xfId="0" applyFont="1"/>
    <xf numFmtId="0" fontId="12" fillId="0" borderId="0" xfId="0" applyFont="1"/>
    <xf numFmtId="0" fontId="13" fillId="0" borderId="0" xfId="0" applyFont="1"/>
    <xf numFmtId="0" fontId="14" fillId="0" borderId="0" xfId="0" applyFont="1"/>
    <xf numFmtId="0" fontId="4" fillId="0" borderId="2" xfId="0" applyFont="1" applyBorder="1"/>
    <xf numFmtId="0" fontId="15" fillId="0" borderId="0" xfId="0" applyFont="1"/>
    <xf numFmtId="164" fontId="0" fillId="0" borderId="0" xfId="0" applyNumberFormat="1"/>
    <xf numFmtId="0" fontId="16" fillId="0" borderId="0" xfId="0" applyFont="1"/>
    <xf numFmtId="0" fontId="5" fillId="0" borderId="0" xfId="0" applyFont="1" applyBorder="1"/>
    <xf numFmtId="0" fontId="4" fillId="3" borderId="2" xfId="0" applyFont="1" applyFill="1" applyBorder="1"/>
    <xf numFmtId="0" fontId="6" fillId="9" borderId="2" xfId="0" applyFont="1" applyFill="1" applyBorder="1"/>
    <xf numFmtId="0" fontId="18" fillId="6" borderId="2" xfId="0" applyFont="1" applyFill="1" applyBorder="1"/>
    <xf numFmtId="2" fontId="4" fillId="0" borderId="2" xfId="0" applyNumberFormat="1" applyFont="1" applyBorder="1"/>
    <xf numFmtId="0" fontId="3" fillId="4" borderId="0" xfId="0" applyFont="1" applyFill="1" applyAlignment="1">
      <alignment horizontal="center"/>
    </xf>
    <xf numFmtId="0" fontId="2" fillId="4" borderId="0" xfId="0" applyFont="1" applyFill="1" applyAlignment="1">
      <alignment horizontal="center"/>
    </xf>
    <xf numFmtId="0" fontId="11" fillId="0" borderId="0" xfId="0" applyFont="1"/>
    <xf numFmtId="0" fontId="17" fillId="8" borderId="3" xfId="0" applyFont="1" applyFill="1" applyBorder="1" applyAlignment="1">
      <alignment horizontal="center"/>
    </xf>
    <xf numFmtId="0" fontId="6" fillId="5" borderId="2" xfId="0" applyFont="1" applyFill="1" applyBorder="1"/>
    <xf numFmtId="0" fontId="7" fillId="0" borderId="2" xfId="0" applyFont="1" applyFill="1" applyBorder="1"/>
    <xf numFmtId="0" fontId="8" fillId="0" borderId="2" xfId="0" applyFont="1" applyBorder="1"/>
    <xf numFmtId="0" fontId="9" fillId="0" borderId="2" xfId="0" applyFont="1" applyBorder="1"/>
    <xf numFmtId="0" fontId="6" fillId="0" borderId="2" xfId="0" applyFont="1" applyBorder="1"/>
    <xf numFmtId="0" fontId="8" fillId="0" borderId="2" xfId="0" applyFont="1" applyBorder="1" applyAlignment="1">
      <alignment vertical="top" wrapText="1"/>
    </xf>
    <xf numFmtId="0" fontId="19" fillId="2" borderId="2" xfId="0" applyFont="1" applyFill="1" applyBorder="1" applyAlignment="1">
      <alignment horizontal="left" vertical="center" wrapText="1"/>
    </xf>
    <xf numFmtId="0" fontId="20" fillId="2" borderId="2" xfId="0" applyFont="1" applyFill="1" applyBorder="1" applyAlignment="1">
      <alignment horizontal="center" vertical="center" wrapText="1"/>
    </xf>
    <xf numFmtId="0" fontId="21" fillId="3" borderId="2" xfId="0" applyFont="1" applyFill="1" applyBorder="1"/>
    <xf numFmtId="0" fontId="0" fillId="3" borderId="2" xfId="0" applyFont="1" applyFill="1" applyBorder="1"/>
    <xf numFmtId="0" fontId="22" fillId="0" borderId="2" xfId="0" applyFont="1" applyBorder="1"/>
    <xf numFmtId="164" fontId="23" fillId="0" borderId="2" xfId="0" applyNumberFormat="1" applyFont="1" applyFill="1" applyBorder="1"/>
    <xf numFmtId="0" fontId="21" fillId="0" borderId="2" xfId="0" applyFont="1" applyBorder="1"/>
    <xf numFmtId="164" fontId="23" fillId="7" borderId="2" xfId="0" applyNumberFormat="1" applyFont="1" applyFill="1" applyBorder="1"/>
    <xf numFmtId="164" fontId="23" fillId="0" borderId="2" xfId="0" applyNumberFormat="1" applyFont="1" applyBorder="1"/>
    <xf numFmtId="0" fontId="24" fillId="2" borderId="2" xfId="0" applyFont="1" applyFill="1" applyBorder="1" applyAlignment="1">
      <alignment horizontal="left" vertical="center" wrapText="1"/>
    </xf>
    <xf numFmtId="0" fontId="24" fillId="2" borderId="2" xfId="0" applyFont="1" applyFill="1" applyBorder="1" applyAlignment="1">
      <alignment horizontal="center" vertical="center" wrapText="1"/>
    </xf>
    <xf numFmtId="164" fontId="9" fillId="0" borderId="2" xfId="0" applyNumberFormat="1" applyFont="1" applyBorder="1" applyAlignment="1">
      <alignment horizontal="right"/>
    </xf>
    <xf numFmtId="0" fontId="6" fillId="3" borderId="2" xfId="0" applyFont="1" applyFill="1" applyBorder="1"/>
    <xf numFmtId="164" fontId="9" fillId="5" borderId="2" xfId="0" applyNumberFormat="1" applyFont="1" applyFill="1" applyBorder="1" applyAlignment="1">
      <alignment horizontal="right"/>
    </xf>
    <xf numFmtId="165" fontId="9" fillId="0" borderId="2" xfId="0" applyNumberFormat="1" applyFont="1" applyBorder="1" applyAlignment="1">
      <alignment horizontal="right"/>
    </xf>
    <xf numFmtId="166" fontId="9" fillId="0" borderId="2" xfId="0" applyNumberFormat="1" applyFont="1" applyBorder="1" applyAlignment="1">
      <alignment horizontal="right"/>
    </xf>
    <xf numFmtId="167" fontId="9" fillId="0" borderId="2" xfId="0" applyNumberFormat="1" applyFont="1" applyBorder="1" applyAlignment="1">
      <alignment horizontal="right"/>
    </xf>
    <xf numFmtId="0" fontId="4" fillId="0" borderId="4" xfId="0" applyFont="1" applyBorder="1"/>
    <xf numFmtId="0" fontId="17" fillId="8" borderId="2" xfId="0" applyFont="1" applyFill="1" applyBorder="1" applyAlignment="1">
      <alignment horizontal="center"/>
    </xf>
    <xf numFmtId="0" fontId="17" fillId="8" borderId="2" xfId="0" applyFont="1" applyFill="1" applyBorder="1" applyAlignment="1"/>
    <xf numFmtId="0" fontId="25" fillId="0" borderId="0" xfId="0" applyFont="1"/>
    <xf numFmtId="0" fontId="26" fillId="2" borderId="2" xfId="0" applyFont="1" applyFill="1" applyBorder="1" applyAlignment="1">
      <alignment horizontal="left" vertical="center" wrapText="1"/>
    </xf>
    <xf numFmtId="0" fontId="26" fillId="2" borderId="2" xfId="0" applyFont="1" applyFill="1" applyBorder="1" applyAlignment="1">
      <alignment horizontal="center" vertical="center" wrapText="1"/>
    </xf>
    <xf numFmtId="0" fontId="27" fillId="3" borderId="2" xfId="0" applyFont="1" applyFill="1" applyBorder="1"/>
    <xf numFmtId="0" fontId="28" fillId="3" borderId="2" xfId="0" applyFont="1" applyFill="1" applyBorder="1"/>
    <xf numFmtId="0" fontId="29" fillId="0" borderId="2" xfId="0" applyFont="1" applyBorder="1"/>
    <xf numFmtId="164" fontId="30" fillId="0" borderId="2" xfId="0" applyNumberFormat="1" applyFont="1" applyBorder="1"/>
    <xf numFmtId="0" fontId="28" fillId="0" borderId="2" xfId="0" applyFont="1" applyBorder="1"/>
    <xf numFmtId="0" fontId="27" fillId="0" borderId="2" xfId="0" applyFont="1" applyBorder="1"/>
    <xf numFmtId="167" fontId="30" fillId="0" borderId="2" xfId="0" applyNumberFormat="1" applyFont="1" applyBorder="1"/>
    <xf numFmtId="165" fontId="30" fillId="0" borderId="2" xfId="0" applyNumberFormat="1" applyFont="1" applyBorder="1"/>
    <xf numFmtId="166" fontId="30" fillId="0" borderId="2" xfId="0" applyNumberFormat="1" applyFont="1" applyBorder="1"/>
    <xf numFmtId="0" fontId="29" fillId="0" borderId="2" xfId="0" applyFont="1" applyBorder="1" applyAlignment="1">
      <alignment horizontal="center"/>
    </xf>
    <xf numFmtId="0" fontId="6" fillId="10" borderId="2" xfId="0" applyFont="1" applyFill="1" applyBorder="1" applyAlignment="1">
      <alignment horizontal="left" vertical="center" wrapText="1"/>
    </xf>
    <xf numFmtId="0" fontId="8" fillId="0" borderId="1" xfId="0" applyFont="1" applyBorder="1" applyAlignment="1">
      <alignment vertical="top" wrapText="1"/>
    </xf>
    <xf numFmtId="0" fontId="8" fillId="0" borderId="1" xfId="0" applyFont="1" applyBorder="1" applyAlignment="1">
      <alignment vertical="top"/>
    </xf>
    <xf numFmtId="0" fontId="12" fillId="0" borderId="0" xfId="0" applyFont="1" applyAlignment="1">
      <alignment horizontal="center" wrapText="1"/>
    </xf>
  </cellXfs>
  <cellStyles count="1">
    <cellStyle name="Normal" xfId="0" builtinId="0"/>
  </cellStyles>
  <dxfs count="2">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7375E"/>
      <rgbColor rgb="FF339966"/>
      <rgbColor rgb="FF0061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mruColors>
      <color rgb="FF0033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1"/>
  <sheetViews>
    <sheetView zoomScaleNormal="100" workbookViewId="0">
      <selection activeCell="A3" sqref="A3:B11"/>
    </sheetView>
  </sheetViews>
  <sheetFormatPr defaultColWidth="8.6328125" defaultRowHeight="14.5" x14ac:dyDescent="0.35"/>
  <cols>
    <col min="1" max="1" width="18.81640625" customWidth="1"/>
    <col min="2" max="2" width="98.7265625" customWidth="1"/>
    <col min="3" max="4" width="14" customWidth="1"/>
    <col min="5" max="5" width="18.36328125" customWidth="1"/>
    <col min="6" max="6" width="14" customWidth="1"/>
    <col min="7" max="7" width="40" customWidth="1"/>
  </cols>
  <sheetData>
    <row r="1" spans="1:7" ht="41.5" customHeight="1" x14ac:dyDescent="0.35">
      <c r="A1" s="16" t="s">
        <v>93</v>
      </c>
      <c r="B1" s="16"/>
    </row>
    <row r="2" spans="1:7" x14ac:dyDescent="0.35">
      <c r="A2" s="2"/>
      <c r="B2" s="2"/>
    </row>
    <row r="3" spans="1:7" ht="27.75" customHeight="1" x14ac:dyDescent="0.35">
      <c r="A3" s="24" t="s">
        <v>0</v>
      </c>
      <c r="B3" s="25" t="s">
        <v>84</v>
      </c>
      <c r="C3" s="1"/>
      <c r="E3" s="1"/>
      <c r="F3" s="1"/>
      <c r="G3" s="1"/>
    </row>
    <row r="4" spans="1:7" ht="27.75" customHeight="1" x14ac:dyDescent="0.35">
      <c r="A4" s="24" t="s">
        <v>1</v>
      </c>
      <c r="B4" s="25" t="s">
        <v>85</v>
      </c>
      <c r="C4" s="1"/>
      <c r="D4" s="1"/>
      <c r="E4" s="1"/>
      <c r="F4" s="1"/>
      <c r="G4" s="1"/>
    </row>
    <row r="5" spans="1:7" ht="27.75" customHeight="1" x14ac:dyDescent="0.35">
      <c r="A5" s="24" t="s">
        <v>2</v>
      </c>
      <c r="B5" s="25" t="s">
        <v>3</v>
      </c>
      <c r="C5" s="1"/>
      <c r="D5" s="1"/>
      <c r="E5" s="1"/>
      <c r="F5" s="1"/>
      <c r="G5" s="1"/>
    </row>
    <row r="6" spans="1:7" ht="28" x14ac:dyDescent="0.35">
      <c r="A6" s="24" t="s">
        <v>83</v>
      </c>
      <c r="B6" s="25" t="s">
        <v>86</v>
      </c>
    </row>
    <row r="7" spans="1:7" x14ac:dyDescent="0.35">
      <c r="A7" s="2"/>
      <c r="B7" s="2"/>
    </row>
    <row r="8" spans="1:7" x14ac:dyDescent="0.35">
      <c r="A8" s="20" t="s">
        <v>4</v>
      </c>
      <c r="B8" s="7"/>
    </row>
    <row r="9" spans="1:7" x14ac:dyDescent="0.35">
      <c r="A9" s="21" t="s">
        <v>67</v>
      </c>
      <c r="B9" s="22" t="s">
        <v>68</v>
      </c>
    </row>
    <row r="10" spans="1:7" x14ac:dyDescent="0.35">
      <c r="A10" s="22" t="s">
        <v>5</v>
      </c>
      <c r="B10" s="22" t="s">
        <v>6</v>
      </c>
    </row>
    <row r="11" spans="1:7" x14ac:dyDescent="0.35">
      <c r="A11" s="23" t="s">
        <v>7</v>
      </c>
      <c r="B11" s="22" t="s">
        <v>8</v>
      </c>
    </row>
  </sheetData>
  <mergeCells count="1">
    <mergeCell ref="A1:B1"/>
  </mergeCells>
  <pageMargins left="0.7" right="0.7" top="0.75" bottom="0.75" header="0.3" footer="0.3"/>
  <pageSetup paperSize="9" fitToWidth="5"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topLeftCell="A2" zoomScaleNormal="100" workbookViewId="0">
      <pane xSplit="1" ySplit="3" topLeftCell="B5" activePane="bottomRight" state="frozen"/>
      <selection activeCell="A2" sqref="A2"/>
      <selection pane="topRight" activeCell="B2" sqref="B2"/>
      <selection pane="bottomLeft" activeCell="A6" sqref="A6"/>
      <selection pane="bottomRight" activeCell="C4" sqref="C4"/>
    </sheetView>
  </sheetViews>
  <sheetFormatPr defaultColWidth="8.6328125" defaultRowHeight="14.5" x14ac:dyDescent="0.35"/>
  <cols>
    <col min="1" max="1" width="48.54296875" customWidth="1"/>
    <col min="2" max="2" width="13" customWidth="1"/>
    <col min="3" max="3" width="19.1796875" customWidth="1"/>
  </cols>
  <sheetData>
    <row r="1" spans="1:8" ht="18" customHeight="1" x14ac:dyDescent="0.4">
      <c r="A1" s="17" t="s">
        <v>75</v>
      </c>
      <c r="B1" s="17"/>
      <c r="C1" s="17"/>
    </row>
    <row r="2" spans="1:8" x14ac:dyDescent="0.35">
      <c r="A2" s="18" t="s">
        <v>69</v>
      </c>
      <c r="B2" s="18"/>
    </row>
    <row r="3" spans="1:8" ht="15.5" x14ac:dyDescent="0.35">
      <c r="B3" s="19" t="s">
        <v>76</v>
      </c>
      <c r="C3" s="19"/>
      <c r="D3" s="19" t="s">
        <v>78</v>
      </c>
      <c r="E3" s="19"/>
      <c r="F3" s="19" t="s">
        <v>79</v>
      </c>
      <c r="G3" s="19"/>
    </row>
    <row r="4" spans="1:8" x14ac:dyDescent="0.35">
      <c r="A4" s="26" t="s">
        <v>9</v>
      </c>
      <c r="B4" s="27" t="s">
        <v>10</v>
      </c>
      <c r="C4" s="27" t="s">
        <v>11</v>
      </c>
      <c r="D4" s="27" t="s">
        <v>10</v>
      </c>
      <c r="E4" s="27" t="s">
        <v>11</v>
      </c>
      <c r="F4" s="27" t="s">
        <v>10</v>
      </c>
      <c r="G4" s="27" t="s">
        <v>11</v>
      </c>
    </row>
    <row r="5" spans="1:8" x14ac:dyDescent="0.35">
      <c r="A5" s="28" t="s">
        <v>13</v>
      </c>
      <c r="B5" s="29"/>
      <c r="C5" s="29"/>
      <c r="D5" s="29"/>
      <c r="E5" s="29"/>
      <c r="F5" s="29"/>
      <c r="G5" s="29"/>
    </row>
    <row r="6" spans="1:8" x14ac:dyDescent="0.35">
      <c r="A6" s="30" t="s">
        <v>14</v>
      </c>
      <c r="B6" s="31">
        <v>117055</v>
      </c>
      <c r="C6" s="31">
        <v>130144</v>
      </c>
      <c r="D6" s="31">
        <v>255324</v>
      </c>
      <c r="E6" s="31">
        <v>267021</v>
      </c>
      <c r="F6" s="31">
        <v>162990</v>
      </c>
      <c r="G6" s="31">
        <v>178650</v>
      </c>
    </row>
    <row r="7" spans="1:8" x14ac:dyDescent="0.35">
      <c r="A7" s="30" t="s">
        <v>15</v>
      </c>
      <c r="B7" s="31">
        <v>95635</v>
      </c>
      <c r="C7" s="31">
        <v>107747</v>
      </c>
      <c r="D7" s="31">
        <v>193159</v>
      </c>
      <c r="E7" s="31">
        <v>200183</v>
      </c>
      <c r="F7" s="31">
        <v>128566</v>
      </c>
      <c r="G7" s="31">
        <v>141272</v>
      </c>
    </row>
    <row r="8" spans="1:8" x14ac:dyDescent="0.35">
      <c r="A8" s="28" t="s">
        <v>16</v>
      </c>
      <c r="B8" s="14"/>
      <c r="C8" s="14"/>
      <c r="D8" s="14"/>
      <c r="E8" s="14"/>
      <c r="F8" s="14"/>
      <c r="G8" s="14"/>
    </row>
    <row r="9" spans="1:8" x14ac:dyDescent="0.35">
      <c r="A9" s="30" t="s">
        <v>72</v>
      </c>
      <c r="B9" s="31">
        <v>19523</v>
      </c>
      <c r="C9" s="31">
        <v>23585</v>
      </c>
      <c r="D9" s="31">
        <v>50142</v>
      </c>
      <c r="E9" s="31">
        <v>57630</v>
      </c>
      <c r="F9" s="31">
        <v>31158</v>
      </c>
      <c r="G9" s="31">
        <v>35234</v>
      </c>
    </row>
    <row r="10" spans="1:8" x14ac:dyDescent="0.35">
      <c r="A10" s="30" t="s">
        <v>17</v>
      </c>
      <c r="B10" s="31">
        <v>6319</v>
      </c>
      <c r="C10" s="31">
        <v>7956</v>
      </c>
      <c r="D10" s="31">
        <v>8904</v>
      </c>
      <c r="E10" s="31">
        <v>10084</v>
      </c>
      <c r="F10" s="31">
        <v>8183</v>
      </c>
      <c r="G10" s="31">
        <v>10064</v>
      </c>
      <c r="H10" s="9"/>
    </row>
    <row r="11" spans="1:8" x14ac:dyDescent="0.35">
      <c r="A11" s="30" t="s">
        <v>18</v>
      </c>
      <c r="B11" s="31">
        <v>133</v>
      </c>
      <c r="C11" s="31">
        <v>239</v>
      </c>
      <c r="D11" s="31">
        <v>21</v>
      </c>
      <c r="E11" s="31">
        <v>29</v>
      </c>
      <c r="F11" s="31"/>
      <c r="G11" s="31"/>
    </row>
    <row r="12" spans="1:8" x14ac:dyDescent="0.35">
      <c r="A12" s="30" t="s">
        <v>19</v>
      </c>
      <c r="B12" s="31">
        <v>8245</v>
      </c>
      <c r="C12" s="31">
        <v>8265</v>
      </c>
      <c r="D12" s="31">
        <v>8342</v>
      </c>
      <c r="E12" s="31">
        <v>6417</v>
      </c>
      <c r="F12" s="31">
        <v>24455</v>
      </c>
      <c r="G12" s="31">
        <v>22201</v>
      </c>
    </row>
    <row r="13" spans="1:8" x14ac:dyDescent="0.35">
      <c r="A13" s="30" t="s">
        <v>20</v>
      </c>
      <c r="B13" s="31">
        <v>13044</v>
      </c>
      <c r="C13" s="31">
        <v>15160</v>
      </c>
      <c r="D13" s="31">
        <v>7121</v>
      </c>
      <c r="E13" s="31">
        <v>6417</v>
      </c>
      <c r="F13" s="31"/>
      <c r="G13" s="31"/>
    </row>
    <row r="14" spans="1:8" x14ac:dyDescent="0.35">
      <c r="A14" s="30" t="s">
        <v>21</v>
      </c>
      <c r="B14" s="31">
        <v>7473</v>
      </c>
      <c r="C14" s="31">
        <v>6960</v>
      </c>
      <c r="D14" s="31">
        <v>30689</v>
      </c>
      <c r="E14" s="31">
        <v>33770</v>
      </c>
      <c r="F14" s="31">
        <v>12482</v>
      </c>
      <c r="G14" s="31">
        <v>12950</v>
      </c>
    </row>
    <row r="15" spans="1:8" x14ac:dyDescent="0.35">
      <c r="A15" s="32" t="s">
        <v>22</v>
      </c>
      <c r="B15" s="33">
        <v>62109</v>
      </c>
      <c r="C15" s="33">
        <v>70542</v>
      </c>
      <c r="D15" s="33">
        <v>123011</v>
      </c>
      <c r="E15" s="33">
        <v>135705</v>
      </c>
      <c r="F15" s="33">
        <v>97099</v>
      </c>
      <c r="G15" s="33">
        <v>103489</v>
      </c>
    </row>
    <row r="16" spans="1:8" x14ac:dyDescent="0.35">
      <c r="A16" s="28" t="s">
        <v>23</v>
      </c>
      <c r="B16" s="14"/>
      <c r="C16" s="14"/>
      <c r="D16" s="14"/>
      <c r="E16" s="14"/>
      <c r="F16" s="14"/>
      <c r="G16" s="14"/>
    </row>
    <row r="17" spans="1:8" x14ac:dyDescent="0.35">
      <c r="A17" s="30" t="s">
        <v>70</v>
      </c>
      <c r="B17" s="34">
        <v>3016</v>
      </c>
      <c r="C17" s="34">
        <v>3726</v>
      </c>
      <c r="D17" s="34">
        <v>7657</v>
      </c>
      <c r="E17" s="34">
        <v>7698</v>
      </c>
      <c r="F17" s="34">
        <v>4164</v>
      </c>
      <c r="G17" s="34">
        <v>4744</v>
      </c>
    </row>
    <row r="18" spans="1:8" x14ac:dyDescent="0.35">
      <c r="A18" s="30" t="s">
        <v>71</v>
      </c>
      <c r="B18" s="34">
        <v>3209</v>
      </c>
      <c r="C18" s="34">
        <v>3980</v>
      </c>
      <c r="D18" s="34">
        <v>6252</v>
      </c>
      <c r="E18" s="34">
        <v>7110</v>
      </c>
      <c r="F18" s="34">
        <v>0</v>
      </c>
      <c r="G18" s="34">
        <v>0</v>
      </c>
    </row>
    <row r="19" spans="1:8" x14ac:dyDescent="0.35">
      <c r="A19" s="30" t="s">
        <v>25</v>
      </c>
      <c r="B19" s="31">
        <v>2221</v>
      </c>
      <c r="C19" s="31">
        <v>122</v>
      </c>
      <c r="D19" s="31">
        <v>0</v>
      </c>
      <c r="E19" s="31">
        <v>0</v>
      </c>
      <c r="F19" s="34">
        <v>0</v>
      </c>
      <c r="G19" s="34">
        <v>0</v>
      </c>
    </row>
    <row r="20" spans="1:8" x14ac:dyDescent="0.35">
      <c r="A20" s="32" t="s">
        <v>26</v>
      </c>
      <c r="B20" s="33">
        <v>28039</v>
      </c>
      <c r="C20" s="33">
        <v>31826</v>
      </c>
      <c r="D20" s="33">
        <v>53001</v>
      </c>
      <c r="E20" s="33">
        <v>60914</v>
      </c>
      <c r="F20" s="33">
        <v>42850</v>
      </c>
      <c r="G20" s="33">
        <v>52322</v>
      </c>
      <c r="H20" s="9"/>
    </row>
    <row r="22" spans="1:8" x14ac:dyDescent="0.35">
      <c r="A22" s="3" t="s">
        <v>77</v>
      </c>
    </row>
  </sheetData>
  <mergeCells count="5">
    <mergeCell ref="A1:C1"/>
    <mergeCell ref="A2:B2"/>
    <mergeCell ref="B3:C3"/>
    <mergeCell ref="D3:E3"/>
    <mergeCell ref="F3:G3"/>
  </mergeCells>
  <pageMargins left="0.25" right="0.25"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showGridLines="0" topLeftCell="A6" zoomScaleNormal="100" workbookViewId="0">
      <selection activeCell="A3" sqref="A3"/>
    </sheetView>
  </sheetViews>
  <sheetFormatPr defaultColWidth="8.6328125" defaultRowHeight="14" x14ac:dyDescent="0.3"/>
  <cols>
    <col min="1" max="1" width="46" style="2" customWidth="1"/>
    <col min="2" max="3" width="13" style="2" customWidth="1"/>
    <col min="4" max="16384" width="8.6328125" style="2"/>
  </cols>
  <sheetData>
    <row r="1" spans="1:5" ht="18" customHeight="1" x14ac:dyDescent="0.35">
      <c r="A1" s="4" t="s">
        <v>27</v>
      </c>
    </row>
    <row r="2" spans="1:5" x14ac:dyDescent="0.3">
      <c r="A2" s="6"/>
    </row>
    <row r="3" spans="1:5" x14ac:dyDescent="0.3">
      <c r="A3" s="46" t="s">
        <v>29</v>
      </c>
    </row>
    <row r="4" spans="1:5" x14ac:dyDescent="0.3">
      <c r="A4" s="24" t="s">
        <v>28</v>
      </c>
      <c r="B4" s="43">
        <v>365</v>
      </c>
      <c r="C4" s="8"/>
    </row>
    <row r="5" spans="1:5" x14ac:dyDescent="0.35">
      <c r="A5" s="11"/>
      <c r="B5" s="44" t="s">
        <v>76</v>
      </c>
      <c r="C5" s="44"/>
      <c r="D5" s="45" t="s">
        <v>78</v>
      </c>
      <c r="E5" s="45" t="s">
        <v>79</v>
      </c>
    </row>
    <row r="6" spans="1:5" x14ac:dyDescent="0.3">
      <c r="A6" s="35" t="s">
        <v>30</v>
      </c>
      <c r="B6" s="36" t="s">
        <v>10</v>
      </c>
      <c r="C6" s="36" t="s">
        <v>11</v>
      </c>
      <c r="D6" s="36" t="s">
        <v>11</v>
      </c>
      <c r="E6" s="36" t="s">
        <v>11</v>
      </c>
    </row>
    <row r="7" spans="1:5" x14ac:dyDescent="0.3">
      <c r="A7" s="30" t="s">
        <v>73</v>
      </c>
      <c r="B7" s="37">
        <f>Extracted_Data!B9+Extracted_Data!B10</f>
        <v>25842</v>
      </c>
      <c r="C7" s="37">
        <f>Extracted_Data!C9+Extracted_Data!C10</f>
        <v>31541</v>
      </c>
      <c r="D7" s="37">
        <f>SUM(Extracted_Data!E9:E10)</f>
        <v>67714</v>
      </c>
      <c r="E7" s="37">
        <f>SUM(Extracted_Data!G9:G10)</f>
        <v>45298</v>
      </c>
    </row>
    <row r="8" spans="1:5" x14ac:dyDescent="0.3">
      <c r="A8" s="30" t="s">
        <v>74</v>
      </c>
      <c r="B8" s="37">
        <f>Extracted_Data!B17+Extracted_Data!B18</f>
        <v>6225</v>
      </c>
      <c r="C8" s="37">
        <f>Extracted_Data!C17+Extracted_Data!C18</f>
        <v>7706</v>
      </c>
      <c r="D8" s="37">
        <f>SUM(Extracted_Data!E17:E18)</f>
        <v>14808</v>
      </c>
      <c r="E8" s="37">
        <f>SUM(Extracted_Data!G17:G18)</f>
        <v>4744</v>
      </c>
    </row>
    <row r="9" spans="1:5" x14ac:dyDescent="0.3">
      <c r="A9" s="38" t="s">
        <v>31</v>
      </c>
      <c r="B9" s="12"/>
      <c r="C9" s="12"/>
      <c r="D9" s="39"/>
      <c r="E9" s="39"/>
    </row>
    <row r="10" spans="1:5" x14ac:dyDescent="0.3">
      <c r="A10" s="24" t="s">
        <v>32</v>
      </c>
      <c r="B10" s="37">
        <f>Extracted_Data!B15-Extracted_Data!B20</f>
        <v>34070</v>
      </c>
      <c r="C10" s="37">
        <f>Extracted_Data!C15-Extracted_Data!C20</f>
        <v>38716</v>
      </c>
      <c r="D10" s="37">
        <f>Extracted_Data!E15-Extracted_Data!E20</f>
        <v>74791</v>
      </c>
      <c r="E10" s="37">
        <f>Extracted_Data!G15-Extracted_Data!G20</f>
        <v>51167</v>
      </c>
    </row>
    <row r="11" spans="1:5" x14ac:dyDescent="0.3">
      <c r="A11" s="22" t="s">
        <v>33</v>
      </c>
      <c r="B11" s="37">
        <f>Extracted_Data!B9+Extracted_Data!B10+Extracted_Data!B12-B8</f>
        <v>27862</v>
      </c>
      <c r="C11" s="37">
        <f>Extracted_Data!C9+Extracted_Data!C10+Extracted_Data!C11-C8</f>
        <v>24074</v>
      </c>
      <c r="D11" s="37">
        <f>SUM(Extracted_Data!E9:E11)-Calculation_Data!D8</f>
        <v>52935</v>
      </c>
      <c r="E11" s="37">
        <f>SUM(Extracted_Data!G9:G11)-E8</f>
        <v>40554</v>
      </c>
    </row>
    <row r="12" spans="1:5" x14ac:dyDescent="0.3">
      <c r="A12" s="22" t="s">
        <v>34</v>
      </c>
      <c r="B12" s="37">
        <f>SUM(Extracted_Data!B12:B14)</f>
        <v>28762</v>
      </c>
      <c r="C12" s="37">
        <f>SUM(Extracted_Data!C12:C14)</f>
        <v>30385</v>
      </c>
      <c r="D12" s="37">
        <f>SUM(Extracted_Data!E12:E14)</f>
        <v>46604</v>
      </c>
      <c r="E12" s="37">
        <f>SUM(Extracted_Data!G12:G14)</f>
        <v>35151</v>
      </c>
    </row>
    <row r="13" spans="1:5" x14ac:dyDescent="0.3">
      <c r="A13" s="38" t="s">
        <v>35</v>
      </c>
      <c r="B13" s="12"/>
      <c r="C13" s="12"/>
      <c r="D13" s="39"/>
      <c r="E13" s="39"/>
    </row>
    <row r="14" spans="1:5" x14ac:dyDescent="0.3">
      <c r="A14" s="22" t="s">
        <v>36</v>
      </c>
      <c r="B14" s="40">
        <f>Extracted_Data!B15/Extracted_Data!B20</f>
        <v>2.2150932629551696</v>
      </c>
      <c r="C14" s="40">
        <f>Extracted_Data!C15/Extracted_Data!C20</f>
        <v>2.2164896625400616</v>
      </c>
      <c r="D14" s="37">
        <f>Extracted_Data!E15/Extracted_Data!E20</f>
        <v>2.2278129822372525</v>
      </c>
      <c r="E14" s="37">
        <f>Extracted_Data!G15/Extracted_Data!G20</f>
        <v>1.977925155766217</v>
      </c>
    </row>
    <row r="15" spans="1:5" x14ac:dyDescent="0.3">
      <c r="A15" s="22" t="s">
        <v>37</v>
      </c>
      <c r="B15" s="40">
        <f>(Extracted_Data!B15-Extracted_Data!B11)/Extracted_Data!B20</f>
        <v>2.2103498698241735</v>
      </c>
      <c r="C15" s="40">
        <f>(Extracted_Data!C15-Extracted_Data!C11)/Extracted_Data!C20</f>
        <v>2.2089800791805443</v>
      </c>
      <c r="D15" s="37">
        <f>(Extracted_Data!E15-Extracted_Data!E11)/Extracted_Data!E20</f>
        <v>2.2273369012049775</v>
      </c>
      <c r="E15" s="37">
        <f>(Extracted_Data!G15-Extracted_Data!G11)/Extracted_Data!G20</f>
        <v>1.977925155766217</v>
      </c>
    </row>
    <row r="16" spans="1:5" x14ac:dyDescent="0.3">
      <c r="A16" s="22" t="s">
        <v>38</v>
      </c>
      <c r="B16" s="40">
        <f>B12/Extracted_Data!B20</f>
        <v>1.025785513035415</v>
      </c>
      <c r="C16" s="40">
        <f>C12/Extracted_Data!C20</f>
        <v>0.95472255388675931</v>
      </c>
      <c r="D16" s="37">
        <f>D12/Extracted_Data!E20</f>
        <v>0.76507863545326193</v>
      </c>
      <c r="E16" s="37">
        <f>E12/Extracted_Data!G20</f>
        <v>0.67182064905775774</v>
      </c>
    </row>
    <row r="17" spans="1:5" x14ac:dyDescent="0.3">
      <c r="A17" s="38" t="s">
        <v>39</v>
      </c>
      <c r="B17" s="12"/>
      <c r="C17" s="12"/>
      <c r="D17" s="39"/>
      <c r="E17" s="39"/>
    </row>
    <row r="18" spans="1:5" x14ac:dyDescent="0.3">
      <c r="A18" s="22" t="s">
        <v>40</v>
      </c>
      <c r="B18" s="41">
        <f>(B7/Extracted_Data!B6)*B4</f>
        <v>80.580325488018445</v>
      </c>
      <c r="C18" s="41">
        <f>(C7/Extracted_Data!C6)*$B$4</f>
        <v>88.459437238750922</v>
      </c>
      <c r="D18" s="37">
        <f>(D7/Extracted_Data!E6)*365</f>
        <v>92.560547672280464</v>
      </c>
      <c r="E18" s="37">
        <f>(E7/Extracted_Data!G6)*365</f>
        <v>92.548390708088448</v>
      </c>
    </row>
    <row r="19" spans="1:5" x14ac:dyDescent="0.3">
      <c r="A19" s="22" t="s">
        <v>41</v>
      </c>
      <c r="B19" s="41">
        <f>(Extracted_Data!B11/Extracted_Data!B7)*365</f>
        <v>0.5076070476290061</v>
      </c>
      <c r="C19" s="41">
        <f>(Extracted_Data!C11/Extracted_Data!C7)*365</f>
        <v>0.80962811029541426</v>
      </c>
      <c r="D19" s="37">
        <f>(Extracted_Data!E11/Extracted_Data!E7)*365</f>
        <v>5.2876617894626415E-2</v>
      </c>
      <c r="E19" s="37">
        <f>(Extracted_Data!G11/Extracted_Data!G7)*365</f>
        <v>0</v>
      </c>
    </row>
    <row r="20" spans="1:5" x14ac:dyDescent="0.3">
      <c r="A20" s="22" t="s">
        <v>42</v>
      </c>
      <c r="B20" s="41">
        <f>(B8/Extracted_Data!B7)*365</f>
        <v>23.758299785643331</v>
      </c>
      <c r="C20" s="41">
        <f>(C8/Extracted_Data!C7)*365</f>
        <v>26.104578317725782</v>
      </c>
      <c r="D20" s="37">
        <f>(D8/Extracted_Data!E7)*365</f>
        <v>26.999895095987174</v>
      </c>
      <c r="E20" s="37">
        <f>(E8/Extracted_Data!G7)*365</f>
        <v>12.25692281556147</v>
      </c>
    </row>
    <row r="21" spans="1:5" x14ac:dyDescent="0.3">
      <c r="A21" s="24" t="s">
        <v>43</v>
      </c>
      <c r="B21" s="41">
        <f>B18+B19-B20</f>
        <v>57.329632750004123</v>
      </c>
      <c r="C21" s="41">
        <f>C18+C19-C20</f>
        <v>63.164487031320562</v>
      </c>
      <c r="D21" s="41">
        <f>D18+D19-D20</f>
        <v>65.613529194187919</v>
      </c>
      <c r="E21" s="41">
        <f>E18+E19-E20</f>
        <v>80.291467892526981</v>
      </c>
    </row>
    <row r="22" spans="1:5" x14ac:dyDescent="0.3">
      <c r="A22" s="38" t="s">
        <v>44</v>
      </c>
      <c r="B22" s="12"/>
      <c r="C22" s="12"/>
      <c r="D22" s="39"/>
      <c r="E22" s="39"/>
    </row>
    <row r="23" spans="1:5" x14ac:dyDescent="0.3">
      <c r="A23" s="22" t="s">
        <v>45</v>
      </c>
      <c r="B23" s="42">
        <f>B10/Extracted_Data!B6</f>
        <v>0.29105975823330915</v>
      </c>
      <c r="C23" s="42">
        <f>C10/Extracted_Data!C6</f>
        <v>0.29748586181460535</v>
      </c>
      <c r="D23" s="42">
        <f>D10/Extracted_Data!E6</f>
        <v>0.28009407499784661</v>
      </c>
      <c r="E23" s="42">
        <f>E10/Extracted_Data!G6</f>
        <v>0.28640917996081722</v>
      </c>
    </row>
  </sheetData>
  <mergeCells count="1">
    <mergeCell ref="B5:C5"/>
  </mergeCells>
  <pageMargins left="0.25" right="0.25" top="0.75" bottom="0.75" header="0.3" footer="0.3"/>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showGridLines="0" zoomScaleNormal="100" workbookViewId="0">
      <pane xSplit="1" ySplit="4" topLeftCell="B22" activePane="bottomRight" state="frozen"/>
      <selection pane="topRight" activeCell="B1" sqref="B1"/>
      <selection pane="bottomLeft" activeCell="A14" sqref="A14"/>
      <selection pane="bottomRight" activeCell="G15" sqref="G15"/>
    </sheetView>
  </sheetViews>
  <sheetFormatPr defaultColWidth="8.6328125" defaultRowHeight="14" x14ac:dyDescent="0.3"/>
  <cols>
    <col min="1" max="1" width="32.26953125" style="2" bestFit="1" customWidth="1"/>
    <col min="2" max="2" width="9.54296875" style="2" bestFit="1" customWidth="1"/>
    <col min="3" max="3" width="48.36328125" style="2" bestFit="1" customWidth="1"/>
    <col min="4" max="16384" width="8.6328125" style="2"/>
  </cols>
  <sheetData>
    <row r="1" spans="1:3" ht="18" customHeight="1" x14ac:dyDescent="0.35">
      <c r="A1" s="4" t="s">
        <v>46</v>
      </c>
    </row>
    <row r="2" spans="1:3" x14ac:dyDescent="0.3">
      <c r="A2" s="6"/>
    </row>
    <row r="4" spans="1:3" ht="15" x14ac:dyDescent="0.3">
      <c r="A4" s="47" t="s">
        <v>47</v>
      </c>
      <c r="B4" s="48" t="s">
        <v>11</v>
      </c>
      <c r="C4" s="48" t="s">
        <v>48</v>
      </c>
    </row>
    <row r="5" spans="1:3" ht="15.5" x14ac:dyDescent="0.35">
      <c r="A5" s="49" t="s">
        <v>49</v>
      </c>
      <c r="B5" s="50"/>
      <c r="C5" s="50"/>
    </row>
    <row r="6" spans="1:3" ht="15.5" x14ac:dyDescent="0.35">
      <c r="A6" s="51" t="s">
        <v>14</v>
      </c>
      <c r="B6" s="52">
        <f>IFERROR(Extracted_Data!C6-Extracted_Data!B6,"")</f>
        <v>13089</v>
      </c>
      <c r="C6" s="53"/>
    </row>
    <row r="7" spans="1:3" ht="15.5" x14ac:dyDescent="0.35">
      <c r="A7" s="51" t="s">
        <v>12</v>
      </c>
      <c r="B7" s="52">
        <f>IFERROR(Extracted_Data!C9-Extracted_Data!B9,"")</f>
        <v>4062</v>
      </c>
      <c r="C7" s="53"/>
    </row>
    <row r="8" spans="1:3" ht="15.5" x14ac:dyDescent="0.35">
      <c r="A8" s="51" t="s">
        <v>17</v>
      </c>
      <c r="B8" s="52">
        <f>IFERROR(Extracted_Data!C10-Extracted_Data!B10,"")</f>
        <v>1637</v>
      </c>
      <c r="C8" s="53"/>
    </row>
    <row r="9" spans="1:3" ht="15.5" x14ac:dyDescent="0.35">
      <c r="A9" s="51" t="s">
        <v>18</v>
      </c>
      <c r="B9" s="52">
        <f>IFERROR(Extracted_Data!C11-Extracted_Data!B11,"")</f>
        <v>106</v>
      </c>
      <c r="C9" s="53"/>
    </row>
    <row r="10" spans="1:3" ht="15.5" x14ac:dyDescent="0.35">
      <c r="A10" s="51" t="s">
        <v>34</v>
      </c>
      <c r="B10" s="52">
        <f>IFERROR(Calculation_Data!C12-Calculation_Data!B12,"")</f>
        <v>1623</v>
      </c>
      <c r="C10" s="53"/>
    </row>
    <row r="11" spans="1:3" ht="15.5" x14ac:dyDescent="0.35">
      <c r="A11" s="51" t="s">
        <v>24</v>
      </c>
      <c r="B11" s="52">
        <f>Calculation_Data!C8-Calculation_Data!B8</f>
        <v>1481</v>
      </c>
      <c r="C11" s="53"/>
    </row>
    <row r="12" spans="1:3" ht="15.5" x14ac:dyDescent="0.35">
      <c r="A12" s="51" t="s">
        <v>50</v>
      </c>
      <c r="B12" s="52">
        <f>IFERROR(Extracted_Data!C15-Extracted_Data!B15,"")</f>
        <v>8433</v>
      </c>
      <c r="C12" s="53"/>
    </row>
    <row r="13" spans="1:3" ht="15.5" x14ac:dyDescent="0.35">
      <c r="A13" s="51" t="s">
        <v>51</v>
      </c>
      <c r="B13" s="52">
        <f>IFERROR(Extracted_Data!C20-Extracted_Data!B20,"")</f>
        <v>3787</v>
      </c>
      <c r="C13" s="53"/>
    </row>
    <row r="14" spans="1:3" ht="15.5" x14ac:dyDescent="0.35">
      <c r="A14" s="54" t="s">
        <v>32</v>
      </c>
      <c r="B14" s="52">
        <f>IFERROR(Calculation_Data!C10-Calculation_Data!B10,"")</f>
        <v>4646</v>
      </c>
      <c r="C14" s="53"/>
    </row>
    <row r="15" spans="1:3" ht="15.5" x14ac:dyDescent="0.35">
      <c r="A15" s="51" t="s">
        <v>33</v>
      </c>
      <c r="B15" s="52">
        <f>IFERROR(Calculation_Data!C11-Calculation_Data!B11,"")</f>
        <v>-3788</v>
      </c>
      <c r="C15" s="53"/>
    </row>
    <row r="16" spans="1:3" ht="15.5" x14ac:dyDescent="0.35">
      <c r="A16" s="49" t="s">
        <v>52</v>
      </c>
      <c r="B16" s="50"/>
      <c r="C16" s="50"/>
    </row>
    <row r="17" spans="1:3" ht="15.5" x14ac:dyDescent="0.35">
      <c r="A17" s="51" t="s">
        <v>14</v>
      </c>
      <c r="B17" s="55">
        <f>IFERROR((Extracted_Data!C6-Extracted_Data!B6)/ABS(Extracted_Data!B6),"")</f>
        <v>0.11181923027636581</v>
      </c>
      <c r="C17" s="53"/>
    </row>
    <row r="18" spans="1:3" ht="15.5" x14ac:dyDescent="0.35">
      <c r="A18" s="51" t="s">
        <v>12</v>
      </c>
      <c r="B18" s="55">
        <f>IFERROR((Extracted_Data!C9-Extracted_Data!B9)/ABS(Extracted_Data!B9),"")</f>
        <v>0.20806228550939918</v>
      </c>
      <c r="C18" s="53"/>
    </row>
    <row r="19" spans="1:3" ht="15.5" x14ac:dyDescent="0.35">
      <c r="A19" s="51" t="s">
        <v>17</v>
      </c>
      <c r="B19" s="55">
        <f>IFERROR((Extracted_Data!C10-Extracted_Data!B10)/ABS(Extracted_Data!B10),"")</f>
        <v>0.25905997784459567</v>
      </c>
      <c r="C19" s="53"/>
    </row>
    <row r="20" spans="1:3" ht="15.5" x14ac:dyDescent="0.35">
      <c r="A20" s="51" t="s">
        <v>18</v>
      </c>
      <c r="B20" s="55">
        <f>IFERROR((Extracted_Data!C11-Extracted_Data!B11)/ABS(Extracted_Data!B11),"")</f>
        <v>0.79699248120300747</v>
      </c>
      <c r="C20" s="53"/>
    </row>
    <row r="21" spans="1:3" ht="15.5" x14ac:dyDescent="0.35">
      <c r="A21" s="51" t="s">
        <v>34</v>
      </c>
      <c r="B21" s="55">
        <f>IFERROR((Calculation_Data!C12-Calculation_Data!B12)/ABS(Calculation_Data!B12),"")</f>
        <v>5.6428621097281133E-2</v>
      </c>
      <c r="C21" s="53"/>
    </row>
    <row r="22" spans="1:3" ht="15.5" x14ac:dyDescent="0.35">
      <c r="A22" s="51" t="s">
        <v>24</v>
      </c>
      <c r="B22" s="55">
        <f>IFERROR((Calculation_Data!C7-Calculation_Data!B7)/ABS(Calculation_Data!B7),"")</f>
        <v>0.22053246652735856</v>
      </c>
      <c r="C22" s="53"/>
    </row>
    <row r="23" spans="1:3" ht="15.5" x14ac:dyDescent="0.35">
      <c r="A23" s="51" t="s">
        <v>50</v>
      </c>
      <c r="B23" s="55">
        <f>IFERROR((Extracted_Data!C15-Extracted_Data!B15)/ABS(Extracted_Data!B15),"")</f>
        <v>0.13577742356180264</v>
      </c>
      <c r="C23" s="53"/>
    </row>
    <row r="24" spans="1:3" ht="15.5" x14ac:dyDescent="0.35">
      <c r="A24" s="51" t="s">
        <v>51</v>
      </c>
      <c r="B24" s="55">
        <f>IFERROR((Extracted_Data!C20-Extracted_Data!B20)/ABS(Extracted_Data!B20),"")</f>
        <v>0.13506187809836298</v>
      </c>
      <c r="C24" s="53"/>
    </row>
    <row r="25" spans="1:3" ht="15.5" x14ac:dyDescent="0.35">
      <c r="A25" s="54" t="s">
        <v>32</v>
      </c>
      <c r="B25" s="55">
        <f>IFERROR((Calculation_Data!C10-Calculation_Data!B10)/ABS(Calculation_Data!B10),"")</f>
        <v>0.13636630466686234</v>
      </c>
      <c r="C25" s="53"/>
    </row>
    <row r="26" spans="1:3" ht="15.5" x14ac:dyDescent="0.35">
      <c r="A26" s="51" t="s">
        <v>33</v>
      </c>
      <c r="B26" s="55">
        <f>(Calculation_Data!C11-Calculation_Data!B11)/ABS(Calculation_Data!B11)</f>
        <v>-0.13595578206876749</v>
      </c>
      <c r="C26" s="53"/>
    </row>
    <row r="27" spans="1:3" ht="15.5" x14ac:dyDescent="0.35">
      <c r="A27" s="49" t="s">
        <v>53</v>
      </c>
      <c r="B27" s="50"/>
      <c r="C27" s="50"/>
    </row>
    <row r="28" spans="1:3" ht="15.5" x14ac:dyDescent="0.35">
      <c r="A28" s="51" t="s">
        <v>36</v>
      </c>
      <c r="B28" s="56">
        <f>IFERROR(Calculation_Data!C14-Calculation_Data!B14,"")</f>
        <v>1.3963995848920163E-3</v>
      </c>
      <c r="C28" s="53"/>
    </row>
    <row r="29" spans="1:3" ht="15.5" x14ac:dyDescent="0.35">
      <c r="A29" s="51" t="s">
        <v>37</v>
      </c>
      <c r="B29" s="56">
        <f>IFERROR(Calculation_Data!C15-Calculation_Data!B15,"")</f>
        <v>-1.3697906436291873E-3</v>
      </c>
      <c r="C29" s="53"/>
    </row>
    <row r="30" spans="1:3" ht="15.5" x14ac:dyDescent="0.35">
      <c r="A30" s="51" t="s">
        <v>38</v>
      </c>
      <c r="B30" s="56">
        <f>IFERROR(Calculation_Data!C16-Calculation_Data!B16,"")</f>
        <v>-7.106295914865568E-2</v>
      </c>
      <c r="C30" s="53"/>
    </row>
    <row r="31" spans="1:3" ht="15.5" x14ac:dyDescent="0.35">
      <c r="A31" s="51" t="s">
        <v>54</v>
      </c>
      <c r="B31" s="57">
        <f>IFERROR(Calculation_Data!C18-Calculation_Data!B18,"")</f>
        <v>7.879111750732477</v>
      </c>
      <c r="C31" s="53"/>
    </row>
    <row r="32" spans="1:3" ht="15.5" x14ac:dyDescent="0.35">
      <c r="A32" s="51" t="s">
        <v>55</v>
      </c>
      <c r="B32" s="57">
        <f>IFERROR(Calculation_Data!C19-Calculation_Data!B19,"")</f>
        <v>0.30202106266640816</v>
      </c>
      <c r="C32" s="53"/>
    </row>
    <row r="33" spans="1:3" ht="15.5" x14ac:dyDescent="0.35">
      <c r="A33" s="51" t="s">
        <v>56</v>
      </c>
      <c r="B33" s="57">
        <f>IFERROR(Calculation_Data!C20-Calculation_Data!B20,"")</f>
        <v>2.3462785320824509</v>
      </c>
      <c r="C33" s="53"/>
    </row>
    <row r="34" spans="1:3" ht="15.5" x14ac:dyDescent="0.35">
      <c r="A34" s="51" t="s">
        <v>57</v>
      </c>
      <c r="B34" s="57">
        <f>IFERROR(Calculation_Data!C21-Calculation_Data!B21,"")</f>
        <v>5.8348542813164386</v>
      </c>
      <c r="C34" s="53"/>
    </row>
    <row r="35" spans="1:3" ht="15.5" x14ac:dyDescent="0.35">
      <c r="A35" s="51" t="s">
        <v>58</v>
      </c>
      <c r="B35" s="55">
        <f>IFERROR(Calculation_Data!C23-Calculation_Data!B23,"")</f>
        <v>6.4261035812961942E-3</v>
      </c>
      <c r="C35" s="53"/>
    </row>
    <row r="36" spans="1:3" ht="15.5" x14ac:dyDescent="0.35">
      <c r="A36" s="49" t="s">
        <v>59</v>
      </c>
      <c r="B36" s="50"/>
      <c r="C36" s="50"/>
    </row>
    <row r="37" spans="1:3" ht="15.5" x14ac:dyDescent="0.35">
      <c r="A37" s="51" t="s">
        <v>36</v>
      </c>
      <c r="B37" s="58" t="str">
        <f>IF(B28="","",IF(B28&gt;0,"Improved",IF(B28&lt;0,"Worsened","No change")))</f>
        <v>Improved</v>
      </c>
      <c r="C37" s="51" t="s">
        <v>60</v>
      </c>
    </row>
    <row r="38" spans="1:3" ht="15.5" x14ac:dyDescent="0.35">
      <c r="A38" s="51" t="s">
        <v>37</v>
      </c>
      <c r="B38" s="58" t="str">
        <f>IF(B29="","",IF(B29&gt;0,"Improved",IF(B29&lt;0,"Worsened","No change")))</f>
        <v>Worsened</v>
      </c>
      <c r="C38" s="51" t="s">
        <v>60</v>
      </c>
    </row>
    <row r="39" spans="1:3" ht="15.5" x14ac:dyDescent="0.35">
      <c r="A39" s="51" t="s">
        <v>61</v>
      </c>
      <c r="B39" s="58" t="str">
        <f>IF(B31="","",IF(B31&gt;0,"Worsened",IF(B31&lt;0,"Improved","No change")))</f>
        <v>Worsened</v>
      </c>
      <c r="C39" s="51" t="s">
        <v>62</v>
      </c>
    </row>
    <row r="40" spans="1:3" ht="15.5" x14ac:dyDescent="0.35">
      <c r="A40" s="51" t="s">
        <v>63</v>
      </c>
      <c r="B40" s="58" t="str">
        <f>IF(B33="","",IF(B33&gt;0,"Improved",IF(B33&lt;0,"Worsened","No change")))</f>
        <v>Improved</v>
      </c>
      <c r="C40" s="51" t="s">
        <v>64</v>
      </c>
    </row>
    <row r="41" spans="1:3" ht="15.5" x14ac:dyDescent="0.35">
      <c r="A41" s="51" t="s">
        <v>65</v>
      </c>
      <c r="B41" s="58" t="str">
        <f>IF(B34="","",IF(B34&gt;0,"Worsened",IF(B34&lt;0,"Improved","No change")))</f>
        <v>Worsened</v>
      </c>
      <c r="C41" s="51" t="s">
        <v>66</v>
      </c>
    </row>
    <row r="43" spans="1:3" x14ac:dyDescent="0.3">
      <c r="A43" s="10"/>
    </row>
  </sheetData>
  <conditionalFormatting sqref="B37:B41">
    <cfRule type="cellIs" dxfId="1" priority="2" operator="equal">
      <formula>"Improved"</formula>
    </cfRule>
    <cfRule type="cellIs" dxfId="0" priority="3" operator="equal">
      <formula>"Worsened"</formula>
    </cfRule>
  </conditionalFormatting>
  <pageMargins left="0.25" right="0.25"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D8652-5A9F-45A5-883C-A23CCADE0E6B}">
  <dimension ref="A1:E12"/>
  <sheetViews>
    <sheetView tabSelected="1" zoomScaleNormal="100" workbookViewId="0">
      <selection activeCell="E46" sqref="E46"/>
    </sheetView>
  </sheetViews>
  <sheetFormatPr defaultRowHeight="14" x14ac:dyDescent="0.3"/>
  <cols>
    <col min="1" max="1" width="67" style="2" customWidth="1"/>
    <col min="2" max="2" width="10" style="2" bestFit="1" customWidth="1"/>
    <col min="3" max="4" width="8.7265625" style="2"/>
    <col min="5" max="5" width="96.1796875" style="2" customWidth="1"/>
    <col min="6" max="16384" width="8.7265625" style="2"/>
  </cols>
  <sheetData>
    <row r="1" spans="1:5" ht="50" customHeight="1" x14ac:dyDescent="0.35">
      <c r="A1" s="62" t="s">
        <v>80</v>
      </c>
      <c r="B1" s="62"/>
      <c r="C1" s="62"/>
      <c r="D1" s="62"/>
      <c r="E1" s="62"/>
    </row>
    <row r="3" spans="1:5" x14ac:dyDescent="0.3">
      <c r="A3" s="5" t="s">
        <v>81</v>
      </c>
    </row>
    <row r="5" spans="1:5" x14ac:dyDescent="0.3">
      <c r="A5" s="59" t="s">
        <v>82</v>
      </c>
      <c r="B5" s="13" t="s">
        <v>76</v>
      </c>
      <c r="C5" s="13" t="s">
        <v>78</v>
      </c>
      <c r="D5" s="13" t="s">
        <v>79</v>
      </c>
      <c r="E5" s="7"/>
    </row>
    <row r="6" spans="1:5" x14ac:dyDescent="0.3">
      <c r="A6" s="35" t="s">
        <v>30</v>
      </c>
      <c r="B6" s="36" t="s">
        <v>11</v>
      </c>
      <c r="C6" s="36" t="s">
        <v>11</v>
      </c>
      <c r="D6" s="36" t="s">
        <v>11</v>
      </c>
      <c r="E6" s="36" t="s">
        <v>48</v>
      </c>
    </row>
    <row r="7" spans="1:5" ht="42" x14ac:dyDescent="0.3">
      <c r="A7" s="22" t="s">
        <v>36</v>
      </c>
      <c r="B7" s="15">
        <f>Calculation_Data!C14</f>
        <v>2.2164896625400616</v>
      </c>
      <c r="C7" s="15">
        <f>Calculation_Data!D14</f>
        <v>2.2278129822372525</v>
      </c>
      <c r="D7" s="15">
        <f>Calculation_Data!E14</f>
        <v>1.977925155766217</v>
      </c>
      <c r="E7" s="60" t="s">
        <v>92</v>
      </c>
    </row>
    <row r="8" spans="1:5" x14ac:dyDescent="0.3">
      <c r="A8" s="22" t="s">
        <v>37</v>
      </c>
      <c r="B8" s="15">
        <f>Calculation_Data!C15</f>
        <v>2.2089800791805443</v>
      </c>
      <c r="C8" s="15">
        <f>Calculation_Data!D15</f>
        <v>2.2273369012049775</v>
      </c>
      <c r="D8" s="15">
        <f>Calculation_Data!E15</f>
        <v>1.977925155766217</v>
      </c>
      <c r="E8" s="61" t="s">
        <v>87</v>
      </c>
    </row>
    <row r="9" spans="1:5" x14ac:dyDescent="0.3">
      <c r="A9" s="22" t="s">
        <v>40</v>
      </c>
      <c r="B9" s="15">
        <f>Calculation_Data!C18</f>
        <v>88.459437238750922</v>
      </c>
      <c r="C9" s="15">
        <f>Calculation_Data!D18</f>
        <v>92.560547672280464</v>
      </c>
      <c r="D9" s="15">
        <f>Calculation_Data!E18</f>
        <v>92.548390708088448</v>
      </c>
      <c r="E9" s="61" t="s">
        <v>88</v>
      </c>
    </row>
    <row r="10" spans="1:5" ht="28" x14ac:dyDescent="0.3">
      <c r="A10" s="22" t="s">
        <v>42</v>
      </c>
      <c r="B10" s="15">
        <f>Calculation_Data!C20</f>
        <v>26.104578317725782</v>
      </c>
      <c r="C10" s="15">
        <f>Calculation_Data!D20</f>
        <v>26.999895095987174</v>
      </c>
      <c r="D10" s="15">
        <f>Calculation_Data!E20</f>
        <v>12.25692281556147</v>
      </c>
      <c r="E10" s="60" t="s">
        <v>89</v>
      </c>
    </row>
    <row r="11" spans="1:5" ht="42" x14ac:dyDescent="0.3">
      <c r="A11" s="22" t="s">
        <v>43</v>
      </c>
      <c r="B11" s="15">
        <f>Calculation_Data!C21</f>
        <v>63.164487031320562</v>
      </c>
      <c r="C11" s="15">
        <f>Calculation_Data!D21</f>
        <v>65.613529194187919</v>
      </c>
      <c r="D11" s="15">
        <f>Calculation_Data!E21</f>
        <v>80.291467892526981</v>
      </c>
      <c r="E11" s="60" t="s">
        <v>90</v>
      </c>
    </row>
    <row r="12" spans="1:5" ht="28" x14ac:dyDescent="0.3">
      <c r="A12" s="22" t="s">
        <v>45</v>
      </c>
      <c r="B12" s="42">
        <f>Calculation_Data!B23</f>
        <v>0.29105975823330915</v>
      </c>
      <c r="C12" s="42">
        <f>Calculation_Data!D23</f>
        <v>0.28009407499784661</v>
      </c>
      <c r="D12" s="42">
        <f>Calculation_Data!E23</f>
        <v>0.28640917996081722</v>
      </c>
      <c r="E12" s="60" t="s">
        <v>91</v>
      </c>
    </row>
  </sheetData>
  <mergeCells count="1">
    <mergeCell ref="A1:E1"/>
  </mergeCells>
  <pageMargins left="0.25" right="0.25"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Extracted_Data</vt:lpstr>
      <vt:lpstr>Calculation_Data</vt:lpstr>
      <vt:lpstr>YoY_Change</vt:lpstr>
      <vt:lpstr>Peer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mg084818@gmail.com</cp:lastModifiedBy>
  <cp:revision>0</cp:revision>
  <cp:lastPrinted>2026-10-11T15:36:55Z</cp:lastPrinted>
  <dcterms:created xsi:type="dcterms:W3CDTF">2026-10-11T11:15:36Z</dcterms:created>
  <dcterms:modified xsi:type="dcterms:W3CDTF">2026-10-11T15:37:13Z</dcterms:modified>
  <dc:language>en-US</dc:language>
</cp:coreProperties>
</file>